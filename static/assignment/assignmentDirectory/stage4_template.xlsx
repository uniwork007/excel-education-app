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10\Downloads\"/>
    </mc:Choice>
  </mc:AlternateContent>
  <xr:revisionPtr revIDLastSave="0" documentId="13_ncr:1_{D93FCE74-E113-4862-AC78-CC71E3D78B0E}" xr6:coauthVersionLast="47" xr6:coauthVersionMax="47" xr10:uidLastSave="{00000000-0000-0000-0000-000000000000}"/>
  <bookViews>
    <workbookView xWindow="4095" yWindow="3960" windowWidth="19365" windowHeight="11295" tabRatio="500" activeTab="1" xr2:uid="{00000000-000D-0000-FFFF-FFFF00000000}"/>
  </bookViews>
  <sheets>
    <sheet name="マスタ" sheetId="1" r:id="rId1"/>
    <sheet name="課題4" sheetId="2" r:id="rId2"/>
  </sheets>
  <definedNames>
    <definedName name="_xlnm.Print_Area" localSheetId="1">課題4!$A$1:$G$18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2" l="1"/>
  <c r="F13" i="2" s="1"/>
  <c r="F10" i="2"/>
  <c r="F11" i="2"/>
  <c r="F12" i="2"/>
  <c r="F14" i="2"/>
  <c r="F9" i="2"/>
  <c r="D14" i="2"/>
  <c r="D12" i="2"/>
  <c r="D11" i="2"/>
  <c r="D10" i="2"/>
  <c r="D9" i="2"/>
  <c r="C14" i="2"/>
  <c r="C13" i="2"/>
  <c r="C12" i="2"/>
  <c r="C10" i="2"/>
  <c r="C9" i="2"/>
  <c r="C11" i="2"/>
  <c r="F15" i="2" l="1"/>
</calcChain>
</file>

<file path=xl/sharedStrings.xml><?xml version="1.0" encoding="utf-8"?>
<sst xmlns="http://schemas.openxmlformats.org/spreadsheetml/2006/main" count="42" uniqueCount="33">
  <si>
    <t>商品マスタ（変更しないでください）</t>
  </si>
  <si>
    <t>商品コード</t>
  </si>
  <si>
    <t>商品名</t>
  </si>
  <si>
    <t>単価（円）</t>
  </si>
  <si>
    <t>A001</t>
  </si>
  <si>
    <r>
      <rPr>
        <sz val="11"/>
        <color rgb="FF000000"/>
        <rFont val="Noto Sans CJK SC"/>
        <family val="2"/>
      </rPr>
      <t>ノート</t>
    </r>
    <r>
      <rPr>
        <sz val="11"/>
        <color rgb="FF000000"/>
        <rFont val="Arial"/>
        <family val="2"/>
      </rPr>
      <t>PC</t>
    </r>
  </si>
  <si>
    <t>A002</t>
  </si>
  <si>
    <t>ワイヤレスマウス</t>
  </si>
  <si>
    <t>A003</t>
  </si>
  <si>
    <r>
      <rPr>
        <sz val="11"/>
        <color rgb="FF000000"/>
        <rFont val="Arial"/>
        <family val="2"/>
      </rPr>
      <t>USB</t>
    </r>
    <r>
      <rPr>
        <sz val="11"/>
        <color rgb="FF000000"/>
        <rFont val="Noto Sans CJK SC"/>
        <family val="2"/>
      </rPr>
      <t>ハブ</t>
    </r>
  </si>
  <si>
    <t>A004</t>
  </si>
  <si>
    <t>モニター</t>
  </si>
  <si>
    <t>A005</t>
  </si>
  <si>
    <t>キーボード</t>
  </si>
  <si>
    <t>A006</t>
  </si>
  <si>
    <t>ヘッドセット</t>
  </si>
  <si>
    <t>A007</t>
  </si>
  <si>
    <r>
      <rPr>
        <sz val="11"/>
        <color rgb="FF000000"/>
        <rFont val="Arial"/>
        <family val="2"/>
      </rPr>
      <t>LAN</t>
    </r>
    <r>
      <rPr>
        <sz val="11"/>
        <color rgb="FF000000"/>
        <rFont val="Noto Sans CJK SC"/>
        <family val="2"/>
      </rPr>
      <t>ケーブル</t>
    </r>
  </si>
  <si>
    <t>A008</t>
  </si>
  <si>
    <r>
      <rPr>
        <sz val="11"/>
        <color rgb="FF000000"/>
        <rFont val="Noto Sans CJK SC"/>
        <family val="2"/>
      </rPr>
      <t>外付け</t>
    </r>
    <r>
      <rPr>
        <sz val="11"/>
        <color rgb="FF000000"/>
        <rFont val="Arial"/>
        <family val="2"/>
      </rPr>
      <t>SSD</t>
    </r>
  </si>
  <si>
    <r>
      <rPr>
        <b/>
        <sz val="15"/>
        <color rgb="FFFFFFFF"/>
        <rFont val="Noto Sans CJK SC"/>
        <family val="2"/>
      </rPr>
      <t>ステージ</t>
    </r>
    <r>
      <rPr>
        <b/>
        <sz val="15"/>
        <color rgb="FFFFFFFF"/>
        <rFont val="Arial"/>
        <family val="2"/>
      </rPr>
      <t>4</t>
    </r>
    <r>
      <rPr>
        <b/>
        <sz val="15"/>
        <color rgb="FFFFFFFF"/>
        <rFont val="Noto Sans CJK SC"/>
        <family val="2"/>
      </rPr>
      <t>：応用関数 ―</t>
    </r>
    <r>
      <rPr>
        <b/>
        <sz val="15"/>
        <color rgb="FFFFFFFF"/>
        <rFont val="Arial"/>
        <family val="2"/>
      </rPr>
      <t>VLOOKUP</t>
    </r>
    <r>
      <rPr>
        <b/>
        <sz val="15"/>
        <color rgb="FFFFFFFF"/>
        <rFont val="Noto Sans CJK SC"/>
        <family val="2"/>
      </rPr>
      <t>で商品マスタから価格を自動取得しよう―</t>
    </r>
  </si>
  <si>
    <r>
      <rPr>
        <sz val="11"/>
        <color rgb="FF000000"/>
        <rFont val="Noto Sans CJK SC"/>
        <family val="2"/>
      </rPr>
      <t>「マスタ」シートの商品マスタを参照して、商品コードを入力するだけで商品名・単価が自動表示される</t>
    </r>
    <r>
      <rPr>
        <sz val="11"/>
        <color rgb="FF000000"/>
        <rFont val="Arial"/>
        <family val="2"/>
      </rPr>
      <t>VLOOKUP</t>
    </r>
    <r>
      <rPr>
        <sz val="11"/>
        <color rgb="FF000000"/>
        <rFont val="Noto Sans CJK SC"/>
        <family val="2"/>
      </rPr>
      <t>数式を作りましょう。</t>
    </r>
  </si>
  <si>
    <t>【凡例】黄色のセル＝数式を入力する欄（採点対象）　青色のセル＝データ入力済み（変更不要）</t>
  </si>
  <si>
    <t>数量</t>
  </si>
  <si>
    <t>小計（円）</t>
  </si>
  <si>
    <t>使う数式の指示</t>
  </si>
  <si>
    <r>
      <rPr>
        <i/>
        <sz val="9"/>
        <color rgb="FF555555"/>
        <rFont val="Arial"/>
        <family val="2"/>
      </rPr>
      <t>C9</t>
    </r>
    <r>
      <rPr>
        <i/>
        <sz val="9"/>
        <color rgb="FF555555"/>
        <rFont val="Noto Sans CJK SC"/>
        <family val="2"/>
      </rPr>
      <t xml:space="preserve">に </t>
    </r>
    <r>
      <rPr>
        <i/>
        <sz val="9"/>
        <color rgb="FF555555"/>
        <rFont val="Arial"/>
        <family val="2"/>
      </rPr>
      <t>=VLOOKUP(B9,</t>
    </r>
    <r>
      <rPr>
        <i/>
        <sz val="9"/>
        <color rgb="FF555555"/>
        <rFont val="Noto Sans CJK SC"/>
        <family val="2"/>
      </rPr>
      <t>マスタ</t>
    </r>
    <r>
      <rPr>
        <i/>
        <sz val="9"/>
        <color rgb="FF555555"/>
        <rFont val="Arial"/>
        <family val="2"/>
      </rPr>
      <t xml:space="preserve">!$A$3:$C$10,2,FALSE) </t>
    </r>
    <r>
      <rPr>
        <i/>
        <sz val="9"/>
        <color rgb="FF555555"/>
        <rFont val="Noto Sans CJK SC"/>
        <family val="2"/>
      </rPr>
      <t>と入力→</t>
    </r>
    <r>
      <rPr>
        <i/>
        <sz val="9"/>
        <color rgb="FF555555"/>
        <rFont val="Arial"/>
        <family val="2"/>
      </rPr>
      <t>C10</t>
    </r>
    <r>
      <rPr>
        <i/>
        <sz val="9"/>
        <color rgb="FF555555"/>
        <rFont val="Noto Sans CJK SC"/>
        <family val="2"/>
      </rPr>
      <t>〜</t>
    </r>
    <r>
      <rPr>
        <i/>
        <sz val="9"/>
        <color rgb="FF555555"/>
        <rFont val="Arial"/>
        <family val="2"/>
      </rPr>
      <t>C14</t>
    </r>
    <r>
      <rPr>
        <i/>
        <sz val="9"/>
        <color rgb="FF555555"/>
        <rFont val="Noto Sans CJK SC"/>
        <family val="2"/>
      </rPr>
      <t>にコピー</t>
    </r>
  </si>
  <si>
    <r>
      <rPr>
        <i/>
        <sz val="9"/>
        <color rgb="FFC00000"/>
        <rFont val="Arial"/>
        <family val="2"/>
      </rPr>
      <t>D9</t>
    </r>
    <r>
      <rPr>
        <i/>
        <sz val="9"/>
        <color rgb="FFC00000"/>
        <rFont val="Noto Sans CJK SC"/>
        <family val="2"/>
      </rPr>
      <t xml:space="preserve">に </t>
    </r>
    <r>
      <rPr>
        <i/>
        <sz val="9"/>
        <color rgb="FFC00000"/>
        <rFont val="Arial"/>
        <family val="2"/>
      </rPr>
      <t>=VLOOKUP(B9,</t>
    </r>
    <r>
      <rPr>
        <i/>
        <sz val="9"/>
        <color rgb="FFC00000"/>
        <rFont val="Noto Sans CJK SC"/>
        <family val="2"/>
      </rPr>
      <t>マスタ</t>
    </r>
    <r>
      <rPr>
        <i/>
        <sz val="9"/>
        <color rgb="FFC00000"/>
        <rFont val="Arial"/>
        <family val="2"/>
      </rPr>
      <t xml:space="preserve">!$A$3:$C$10,3,FALSE) </t>
    </r>
    <r>
      <rPr>
        <i/>
        <sz val="9"/>
        <color rgb="FFC00000"/>
        <rFont val="Noto Sans CJK SC"/>
        <family val="2"/>
      </rPr>
      <t>と入力→</t>
    </r>
    <r>
      <rPr>
        <i/>
        <sz val="9"/>
        <color rgb="FFC00000"/>
        <rFont val="Arial"/>
        <family val="2"/>
      </rPr>
      <t>D10</t>
    </r>
    <r>
      <rPr>
        <i/>
        <sz val="9"/>
        <color rgb="FFC00000"/>
        <rFont val="Noto Sans CJK SC"/>
        <family val="2"/>
      </rPr>
      <t>〜</t>
    </r>
    <r>
      <rPr>
        <i/>
        <sz val="9"/>
        <color rgb="FFC00000"/>
        <rFont val="Arial"/>
        <family val="2"/>
      </rPr>
      <t>D14</t>
    </r>
    <r>
      <rPr>
        <i/>
        <sz val="9"/>
        <color rgb="FFC00000"/>
        <rFont val="Noto Sans CJK SC"/>
        <family val="2"/>
      </rPr>
      <t>にコピー</t>
    </r>
  </si>
  <si>
    <r>
      <rPr>
        <i/>
        <sz val="9"/>
        <color rgb="FF555555"/>
        <rFont val="Arial"/>
        <family val="2"/>
      </rPr>
      <t>F9</t>
    </r>
    <r>
      <rPr>
        <i/>
        <sz val="9"/>
        <color rgb="FF555555"/>
        <rFont val="Noto Sans CJK SC"/>
        <family val="2"/>
      </rPr>
      <t xml:space="preserve">に </t>
    </r>
    <r>
      <rPr>
        <i/>
        <sz val="9"/>
        <color rgb="FF555555"/>
        <rFont val="Arial"/>
        <family val="2"/>
      </rPr>
      <t xml:space="preserve">=D9*E9 </t>
    </r>
    <r>
      <rPr>
        <i/>
        <sz val="9"/>
        <color rgb="FF555555"/>
        <rFont val="Noto Sans CJK SC"/>
        <family val="2"/>
      </rPr>
      <t>と入力→</t>
    </r>
    <r>
      <rPr>
        <i/>
        <sz val="9"/>
        <color rgb="FF555555"/>
        <rFont val="Arial"/>
        <family val="2"/>
      </rPr>
      <t>F10</t>
    </r>
    <r>
      <rPr>
        <i/>
        <sz val="9"/>
        <color rgb="FF555555"/>
        <rFont val="Noto Sans CJK SC"/>
        <family val="2"/>
      </rPr>
      <t>〜</t>
    </r>
    <r>
      <rPr>
        <i/>
        <sz val="9"/>
        <color rgb="FF555555"/>
        <rFont val="Arial"/>
        <family val="2"/>
      </rPr>
      <t>F14</t>
    </r>
    <r>
      <rPr>
        <i/>
        <sz val="9"/>
        <color rgb="FF555555"/>
        <rFont val="Noto Sans CJK SC"/>
        <family val="2"/>
      </rPr>
      <t>にコピー</t>
    </r>
  </si>
  <si>
    <t>合計</t>
  </si>
  <si>
    <r>
      <rPr>
        <i/>
        <sz val="9"/>
        <color rgb="FF555555"/>
        <rFont val="Arial"/>
        <family val="2"/>
      </rPr>
      <t>F15</t>
    </r>
    <r>
      <rPr>
        <i/>
        <sz val="9"/>
        <color rgb="FF555555"/>
        <rFont val="Noto Sans CJK SC"/>
        <family val="2"/>
      </rPr>
      <t xml:space="preserve">に </t>
    </r>
    <r>
      <rPr>
        <i/>
        <sz val="9"/>
        <color rgb="FF555555"/>
        <rFont val="Arial"/>
        <family val="2"/>
      </rPr>
      <t xml:space="preserve">=SUM(F9:F14) </t>
    </r>
    <r>
      <rPr>
        <i/>
        <sz val="9"/>
        <color rgb="FF555555"/>
        <rFont val="Noto Sans CJK SC"/>
        <family val="2"/>
      </rPr>
      <t>を入力しましょう</t>
    </r>
  </si>
  <si>
    <r>
      <rPr>
        <i/>
        <sz val="10"/>
        <color rgb="FF000000"/>
        <rFont val="Noto Sans CJK SC"/>
        <family val="2"/>
      </rPr>
      <t>※マスタ範囲のコツ：「マスタ</t>
    </r>
    <r>
      <rPr>
        <i/>
        <sz val="10"/>
        <color rgb="FF000000"/>
        <rFont val="Arial"/>
        <family val="2"/>
      </rPr>
      <t>!$A$3:$C$10</t>
    </r>
    <r>
      <rPr>
        <i/>
        <sz val="10"/>
        <color rgb="FF000000"/>
        <rFont val="Noto Sans CJK SC"/>
        <family val="2"/>
      </rPr>
      <t>」の</t>
    </r>
    <r>
      <rPr>
        <i/>
        <sz val="10"/>
        <color rgb="FF000000"/>
        <rFont val="Arial"/>
        <family val="2"/>
      </rPr>
      <t>$</t>
    </r>
    <r>
      <rPr>
        <i/>
        <sz val="10"/>
        <color rgb="FF000000"/>
        <rFont val="Noto Sans CJK SC"/>
        <family val="2"/>
      </rPr>
      <t>マークを忘れると、数式を下にコピーしたときにマスタ範囲がズレて正しく検索できなくなります。
第</t>
    </r>
    <r>
      <rPr>
        <i/>
        <sz val="10"/>
        <color rgb="FF000000"/>
        <rFont val="Arial"/>
        <family val="2"/>
      </rPr>
      <t>4</t>
    </r>
    <r>
      <rPr>
        <i/>
        <sz val="10"/>
        <color rgb="FF000000"/>
        <rFont val="Noto Sans CJK SC"/>
        <family val="2"/>
      </rPr>
      <t>引数（</t>
    </r>
    <r>
      <rPr>
        <i/>
        <sz val="10"/>
        <color rgb="FF000000"/>
        <rFont val="Arial"/>
        <family val="2"/>
      </rPr>
      <t>FALSE</t>
    </r>
    <r>
      <rPr>
        <i/>
        <sz val="10"/>
        <color rgb="FF000000"/>
        <rFont val="Noto Sans CJK SC"/>
        <family val="2"/>
      </rPr>
      <t>）を忘れると、コードが一致しないデータを勝手に返すことがあります。必ず指定しましょう。</t>
    </r>
  </si>
  <si>
    <r>
      <rPr>
        <b/>
        <sz val="10"/>
        <color rgb="FFC00000"/>
        <rFont val="Segoe UI Symbol"/>
        <family val="2"/>
      </rPr>
      <t>★</t>
    </r>
    <r>
      <rPr>
        <b/>
        <sz val="10"/>
        <color rgb="FFC00000"/>
        <rFont val="ＭＳ ゴシック"/>
        <family val="3"/>
        <charset val="128"/>
      </rPr>
      <t>ポイント：</t>
    </r>
    <r>
      <rPr>
        <b/>
        <sz val="10"/>
        <color rgb="FFC00000"/>
        <rFont val="Noto Sans CJK SC"/>
        <family val="2"/>
      </rPr>
      <t>VLOOKUP</t>
    </r>
    <r>
      <rPr>
        <b/>
        <sz val="10"/>
        <color rgb="FFC00000"/>
        <rFont val="ＭＳ ゴシック"/>
        <family val="3"/>
        <charset val="128"/>
      </rPr>
      <t>の書式</t>
    </r>
    <r>
      <rPr>
        <b/>
        <sz val="10"/>
        <color rgb="FFC00000"/>
        <rFont val="Noto Sans CJK SC"/>
        <family val="2"/>
      </rPr>
      <t xml:space="preserve"> </t>
    </r>
    <r>
      <rPr>
        <b/>
        <sz val="10"/>
        <color rgb="FFC00000"/>
        <rFont val="Arial"/>
        <family val="2"/>
      </rPr>
      <t>→</t>
    </r>
    <r>
      <rPr>
        <b/>
        <sz val="10"/>
        <color rgb="FFC00000"/>
        <rFont val="Noto Sans CJK SC"/>
        <family val="2"/>
      </rPr>
      <t xml:space="preserve"> =VLOOKUP(</t>
    </r>
    <r>
      <rPr>
        <b/>
        <sz val="10"/>
        <color rgb="FFC00000"/>
        <rFont val="ＭＳ ゴシック"/>
        <family val="3"/>
        <charset val="128"/>
      </rPr>
      <t>検索値</t>
    </r>
    <r>
      <rPr>
        <b/>
        <sz val="10"/>
        <color rgb="FFC00000"/>
        <rFont val="Noto Sans CJK SC"/>
        <family val="2"/>
      </rPr>
      <t xml:space="preserve">, </t>
    </r>
    <r>
      <rPr>
        <b/>
        <sz val="10"/>
        <color rgb="FFC00000"/>
        <rFont val="ＭＳ ゴシック"/>
        <family val="3"/>
        <charset val="128"/>
      </rPr>
      <t>マスタ</t>
    </r>
    <r>
      <rPr>
        <b/>
        <sz val="10"/>
        <color rgb="FFC00000"/>
        <rFont val="Noto Sans CJK SC"/>
        <family val="2"/>
      </rPr>
      <t xml:space="preserve">!$A$3:$C$10, </t>
    </r>
    <r>
      <rPr>
        <b/>
        <sz val="10"/>
        <color rgb="FFC00000"/>
        <rFont val="ＭＳ ゴシック"/>
        <family val="3"/>
        <charset val="128"/>
      </rPr>
      <t>列番号</t>
    </r>
    <r>
      <rPr>
        <b/>
        <sz val="10"/>
        <color rgb="FFC00000"/>
        <rFont val="Noto Sans CJK SC"/>
        <family val="2"/>
      </rPr>
      <t>, FALSE)</t>
    </r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</si>
</sst>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13"/>
      <color rgb="FFFFFFFF"/>
      <name val="Noto Sans CJK SC"/>
      <family val="2"/>
    </font>
    <font>
      <b/>
      <sz val="11"/>
      <color rgb="FF000000"/>
      <name val="Noto Sans CJK SC"/>
      <family val="2"/>
    </font>
    <font>
      <sz val="11"/>
      <color rgb="FF000000"/>
      <name val="Arial"/>
      <family val="2"/>
    </font>
    <font>
      <sz val="11"/>
      <color rgb="FF000000"/>
      <name val="Noto Sans CJK SC"/>
      <family val="2"/>
    </font>
    <font>
      <b/>
      <sz val="15"/>
      <color rgb="FFFFFFFF"/>
      <name val="Noto Sans CJK SC"/>
      <family val="2"/>
    </font>
    <font>
      <b/>
      <sz val="15"/>
      <color rgb="FFFFFFFF"/>
      <name val="Arial"/>
      <family val="2"/>
    </font>
    <font>
      <i/>
      <sz val="10"/>
      <color rgb="FF000000"/>
      <name val="Noto Sans CJK SC"/>
      <family val="2"/>
    </font>
    <font>
      <b/>
      <sz val="10"/>
      <color rgb="FFC00000"/>
      <name val="Noto Sans CJK SC"/>
      <family val="2"/>
    </font>
    <font>
      <b/>
      <sz val="10"/>
      <color rgb="FFC00000"/>
      <name val="Arial"/>
      <family val="2"/>
    </font>
    <font>
      <i/>
      <sz val="9"/>
      <color rgb="FF555555"/>
      <name val="Arial"/>
      <family val="2"/>
    </font>
    <font>
      <i/>
      <sz val="9"/>
      <color rgb="FF555555"/>
      <name val="Noto Sans CJK SC"/>
      <family val="2"/>
    </font>
    <font>
      <i/>
      <sz val="9"/>
      <color rgb="FFC00000"/>
      <name val="Arial"/>
      <family val="2"/>
    </font>
    <font>
      <i/>
      <sz val="9"/>
      <color rgb="FFC00000"/>
      <name val="Noto Sans CJK SC"/>
      <family val="2"/>
    </font>
    <font>
      <i/>
      <sz val="10"/>
      <color rgb="FF000000"/>
      <name val="Arial"/>
      <family val="2"/>
    </font>
    <font>
      <sz val="6"/>
      <name val="ＭＳ Ｐゴシック"/>
      <family val="3"/>
      <charset val="128"/>
    </font>
    <font>
      <b/>
      <sz val="10"/>
      <color rgb="FFC00000"/>
      <name val="Segoe UI Symbol"/>
      <family val="2"/>
    </font>
    <font>
      <b/>
      <sz val="10"/>
      <color rgb="FFC0000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7" fillId="6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6" borderId="2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zoomScaleNormal="100" workbookViewId="0">
      <selection activeCell="C6" sqref="C6"/>
    </sheetView>
  </sheetViews>
  <sheetFormatPr defaultColWidth="8.7109375" defaultRowHeight="15"/>
  <cols>
    <col min="1" max="1" width="14" customWidth="1"/>
    <col min="2" max="2" width="22" customWidth="1"/>
    <col min="3" max="3" width="14" customWidth="1"/>
  </cols>
  <sheetData>
    <row r="1" spans="1:3" ht="24" customHeight="1">
      <c r="A1" s="20" t="s">
        <v>0</v>
      </c>
      <c r="B1" s="20"/>
      <c r="C1" s="20"/>
    </row>
    <row r="2" spans="1:3" ht="19.5" customHeight="1">
      <c r="A2" s="1" t="s">
        <v>1</v>
      </c>
      <c r="B2" s="1" t="s">
        <v>2</v>
      </c>
      <c r="C2" s="1" t="s">
        <v>3</v>
      </c>
    </row>
    <row r="3" spans="1:3" ht="19.5" customHeight="1">
      <c r="A3" s="2" t="s">
        <v>4</v>
      </c>
      <c r="B3" s="3" t="s">
        <v>5</v>
      </c>
      <c r="C3" s="4">
        <v>98000</v>
      </c>
    </row>
    <row r="4" spans="1:3" ht="19.5" customHeight="1">
      <c r="A4" s="2" t="s">
        <v>6</v>
      </c>
      <c r="B4" s="3" t="s">
        <v>7</v>
      </c>
      <c r="C4" s="4">
        <v>3500</v>
      </c>
    </row>
    <row r="5" spans="1:3" ht="19.5" customHeight="1">
      <c r="A5" s="2" t="s">
        <v>8</v>
      </c>
      <c r="B5" s="5" t="s">
        <v>9</v>
      </c>
      <c r="C5" s="4">
        <v>2800</v>
      </c>
    </row>
    <row r="6" spans="1:3" ht="19.5" customHeight="1">
      <c r="A6" s="2" t="s">
        <v>10</v>
      </c>
      <c r="B6" s="3" t="s">
        <v>11</v>
      </c>
      <c r="C6" s="4">
        <v>45000</v>
      </c>
    </row>
    <row r="7" spans="1:3" ht="19.5" customHeight="1">
      <c r="A7" s="2" t="s">
        <v>12</v>
      </c>
      <c r="B7" s="3" t="s">
        <v>13</v>
      </c>
      <c r="C7" s="4">
        <v>6800</v>
      </c>
    </row>
    <row r="8" spans="1:3" ht="19.5" customHeight="1">
      <c r="A8" s="2" t="s">
        <v>14</v>
      </c>
      <c r="B8" s="3" t="s">
        <v>15</v>
      </c>
      <c r="C8" s="4">
        <v>8500</v>
      </c>
    </row>
    <row r="9" spans="1:3" ht="19.5" customHeight="1">
      <c r="A9" s="2" t="s">
        <v>16</v>
      </c>
      <c r="B9" s="5" t="s">
        <v>17</v>
      </c>
      <c r="C9" s="4">
        <v>800</v>
      </c>
    </row>
    <row r="10" spans="1:3" ht="19.5" customHeight="1">
      <c r="A10" s="2" t="s">
        <v>18</v>
      </c>
      <c r="B10" s="3" t="s">
        <v>19</v>
      </c>
      <c r="C10" s="4">
        <v>12000</v>
      </c>
    </row>
  </sheetData>
  <mergeCells count="1">
    <mergeCell ref="A1:C1"/>
  </mergeCells>
  <phoneticPr fontId="15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18"/>
  <sheetViews>
    <sheetView showGridLines="0" tabSelected="1" topLeftCell="A5" zoomScaleNormal="100" workbookViewId="0">
      <selection activeCell="D14" sqref="D14"/>
    </sheetView>
  </sheetViews>
  <sheetFormatPr defaultColWidth="8.7109375" defaultRowHeight="15"/>
  <cols>
    <col min="1" max="1" width="3" customWidth="1"/>
    <col min="2" max="2" width="14" customWidth="1"/>
    <col min="3" max="3" width="22" customWidth="1"/>
    <col min="4" max="4" width="14" customWidth="1"/>
    <col min="5" max="5" width="10" customWidth="1"/>
    <col min="6" max="6" width="14" customWidth="1"/>
    <col min="7" max="7" width="34" customWidth="1"/>
  </cols>
  <sheetData>
    <row r="2" spans="2:7" ht="27.75" customHeight="1">
      <c r="B2" s="15" t="s">
        <v>20</v>
      </c>
      <c r="C2" s="15"/>
      <c r="D2" s="15"/>
      <c r="E2" s="15"/>
      <c r="F2" s="15"/>
      <c r="G2" s="15"/>
    </row>
    <row r="4" spans="2:7" ht="33.75" customHeight="1">
      <c r="B4" s="16" t="s">
        <v>21</v>
      </c>
      <c r="C4" s="16"/>
      <c r="D4" s="16"/>
      <c r="E4" s="16"/>
      <c r="F4" s="16"/>
      <c r="G4" s="16"/>
    </row>
    <row r="5" spans="2:7" ht="18" customHeight="1">
      <c r="B5" s="17" t="s">
        <v>22</v>
      </c>
      <c r="C5" s="17"/>
      <c r="D5" s="17"/>
      <c r="E5" s="17"/>
      <c r="F5" s="17"/>
      <c r="G5" s="17"/>
    </row>
    <row r="6" spans="2:7" ht="19.5" customHeight="1">
      <c r="B6" s="18" t="s">
        <v>32</v>
      </c>
      <c r="C6" s="18"/>
      <c r="D6" s="18"/>
      <c r="E6" s="18"/>
      <c r="F6" s="18"/>
      <c r="G6" s="18"/>
    </row>
    <row r="8" spans="2:7" ht="19.5" customHeight="1">
      <c r="B8" s="1" t="s">
        <v>1</v>
      </c>
      <c r="C8" s="1" t="s">
        <v>2</v>
      </c>
      <c r="D8" s="1" t="s">
        <v>3</v>
      </c>
      <c r="E8" s="1" t="s">
        <v>23</v>
      </c>
      <c r="F8" s="1" t="s">
        <v>24</v>
      </c>
      <c r="G8" s="6" t="s">
        <v>25</v>
      </c>
    </row>
    <row r="9" spans="2:7" ht="21.75" customHeight="1">
      <c r="B9" s="7" t="s">
        <v>4</v>
      </c>
      <c r="C9" s="8" t="str">
        <f>VLOOKUP(課題4!$B$9,マスタ!$A$3:$C$10,2,FALSE)</f>
        <v>ノートPC</v>
      </c>
      <c r="D9" s="8">
        <f>VLOOKUP(課題4!B9,マスタ!$A$3:$C$10,3,FALSE)</f>
        <v>98000</v>
      </c>
      <c r="E9" s="7">
        <v>2</v>
      </c>
      <c r="F9" s="9">
        <f>$D9*$E9</f>
        <v>196000</v>
      </c>
      <c r="G9" s="10" t="s">
        <v>26</v>
      </c>
    </row>
    <row r="10" spans="2:7" ht="21.75" customHeight="1">
      <c r="B10" s="7" t="s">
        <v>8</v>
      </c>
      <c r="C10" s="8" t="str">
        <f>VLOOKUP(課題4!$B$10,マスタ!$A$3:$C$10,2,FALSE)</f>
        <v>USBハブ</v>
      </c>
      <c r="D10" s="8">
        <f>VLOOKUP(課題4!B10,マスタ!$A$3:$C$10,3,FALSE)</f>
        <v>2800</v>
      </c>
      <c r="E10" s="7">
        <v>5</v>
      </c>
      <c r="F10" s="9">
        <f t="shared" ref="F10:F14" si="0">$D10*$E10</f>
        <v>14000</v>
      </c>
      <c r="G10" s="11" t="s">
        <v>27</v>
      </c>
    </row>
    <row r="11" spans="2:7" ht="21.75" customHeight="1">
      <c r="B11" s="7" t="s">
        <v>6</v>
      </c>
      <c r="C11" s="8" t="str">
        <f>VLOOKUP(課題4!B11,マスタ!$A$3:$C$10,2,FALSE)</f>
        <v>ワイヤレスマウス</v>
      </c>
      <c r="D11" s="8">
        <f>VLOOKUP(課題4!B11,マスタ!$A$3:$C10,3,FALSE)</f>
        <v>3500</v>
      </c>
      <c r="E11" s="7">
        <v>3</v>
      </c>
      <c r="F11" s="9">
        <f t="shared" si="0"/>
        <v>10500</v>
      </c>
      <c r="G11" s="10" t="s">
        <v>28</v>
      </c>
    </row>
    <row r="12" spans="2:7" ht="21.75" customHeight="1">
      <c r="B12" s="7" t="s">
        <v>12</v>
      </c>
      <c r="C12" s="8" t="str">
        <f>VLOOKUP(課題4!$B$12,マスタ!$A$3:$C$10,2,FALSE)</f>
        <v>キーボード</v>
      </c>
      <c r="D12" s="8">
        <f>VLOOKUP(課題4!B12,マスタ!$A$3:$C$10,3,FALSE)</f>
        <v>6800</v>
      </c>
      <c r="E12" s="7">
        <v>4</v>
      </c>
      <c r="F12" s="9">
        <f t="shared" si="0"/>
        <v>27200</v>
      </c>
      <c r="G12" s="12"/>
    </row>
    <row r="13" spans="2:7" ht="21.75" customHeight="1">
      <c r="B13" s="7" t="s">
        <v>18</v>
      </c>
      <c r="C13" s="8" t="str">
        <f>VLOOKUP(課題4!$B$13,マスタ!$A$3:$C$10,2,FALSE)</f>
        <v>外付けSSD</v>
      </c>
      <c r="D13" s="8">
        <f>VLOOKUP(課題4!B13,マスタ!$A$3:$C$10,3,FALSE)</f>
        <v>12000</v>
      </c>
      <c r="E13" s="7">
        <v>1</v>
      </c>
      <c r="F13" s="9">
        <f t="shared" si="0"/>
        <v>12000</v>
      </c>
      <c r="G13" s="12"/>
    </row>
    <row r="14" spans="2:7" ht="21.75" customHeight="1">
      <c r="B14" s="7" t="s">
        <v>10</v>
      </c>
      <c r="C14" s="8" t="str">
        <f>VLOOKUP(課題4!$B$14,マスタ!$A$3:$C$10,2,FALSE)</f>
        <v>モニター</v>
      </c>
      <c r="D14" s="8">
        <f>VLOOKUP(課題4!B14,マスタ!$A$3:$C$110,3,FALSE)</f>
        <v>45000</v>
      </c>
      <c r="E14" s="7">
        <v>2</v>
      </c>
      <c r="F14" s="9">
        <f t="shared" si="0"/>
        <v>90000</v>
      </c>
      <c r="G14" s="12"/>
    </row>
    <row r="15" spans="2:7" ht="21.75" customHeight="1">
      <c r="B15" s="19" t="s">
        <v>29</v>
      </c>
      <c r="C15" s="19"/>
      <c r="D15" s="19"/>
      <c r="E15" s="19"/>
      <c r="F15" s="9">
        <f>SUM($F$9:$F$14)</f>
        <v>349700</v>
      </c>
      <c r="G15" s="13" t="s">
        <v>30</v>
      </c>
    </row>
    <row r="17" spans="2:7" ht="19.5" customHeight="1">
      <c r="B17" s="14" t="s">
        <v>31</v>
      </c>
      <c r="C17" s="14"/>
      <c r="D17" s="14"/>
      <c r="E17" s="14"/>
      <c r="F17" s="14"/>
      <c r="G17" s="14"/>
    </row>
    <row r="18" spans="2:7" ht="27.75" customHeight="1">
      <c r="B18" s="14"/>
      <c r="C18" s="14"/>
      <c r="D18" s="14"/>
      <c r="E18" s="14"/>
      <c r="F18" s="14"/>
      <c r="G18" s="14"/>
    </row>
  </sheetData>
  <mergeCells count="6">
    <mergeCell ref="B17:G18"/>
    <mergeCell ref="B2:G2"/>
    <mergeCell ref="B4:G4"/>
    <mergeCell ref="B5:G5"/>
    <mergeCell ref="B6:G6"/>
    <mergeCell ref="B15:E15"/>
  </mergeCells>
  <phoneticPr fontId="15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マスタ</vt:lpstr>
      <vt:lpstr>課題4</vt:lpstr>
      <vt:lpstr>課題4!Print_Area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game02 uniplay</cp:lastModifiedBy>
  <cp:revision>0</cp:revision>
  <dcterms:created xsi:type="dcterms:W3CDTF">2026-09-11T04:25:00Z</dcterms:created>
  <dcterms:modified xsi:type="dcterms:W3CDTF">2026-09-11T05:35:01Z</dcterms:modified>
  <dc:language>en-US</dc:language>
</cp:coreProperties>
</file>